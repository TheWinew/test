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3b73bad4d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仿生蝴蝶主板V3_Plus_PCB7_2026-08-" sheetId="1" r:id="Rac724428c2dc4b8d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<x:sst xmlns:x="http://schemas.openxmlformats.org/spreadsheetml/2006/main">
  <x:si>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</x:si>
  <x:si>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Quantity</x:t>
  </x:si>
  <x:si>
    <x:t xml:space="preserve">Comment</x:t>
  </x:si>
  <x:si>
    <x:t xml:space="preserve">Designator</x:t>
  </x:si>
  <x:si>
    <x:t xml:space="preserve">Footprint</x:t>
  </x:si>
  <x:si>
    <x:t xml:space="preserve">Manufacturer Part</x:t>
  </x:si>
  <x:si>
    <x:t xml:space="preserve">Manufacturer</x:t>
  </x:si>
  <x:si>
    <x:t xml:space="preserve">1uF/16V</x:t>
  </x:si>
  <x:si>
    <x:t xml:space="preserve">C57</x:t>
  </x:si>
  <x:si>
    <x:t xml:space="preserve">C0402</x:t>
  </x:si>
  <x:si>
    <x:t xml:space="preserve">10</x:t>
  </x:si>
  <x:si>
    <x:t xml:space="preserve">2.2uF/16V</x:t>
  </x:si>
  <x:si>
    <x:t xml:space="preserve">C9,C16,C49</x:t>
  </x:si>
  <x:si>
    <x:t xml:space="preserve">4.7nF/25V</x:t>
  </x:si>
  <x:si>
    <x:t xml:space="preserve">C1</x:t>
  </x:si>
  <x:si>
    <x:t xml:space="preserve">8pF/25V</x:t>
  </x:si>
  <x:si>
    <x:t xml:space="preserve">C32,C33,C35,C36</x:t>
  </x:si>
  <x:si>
    <x:t xml:space="preserve">10nF/16V</x:t>
  </x:si>
  <x:si>
    <x:t xml:space="preserve">C30,C31</x:t>
  </x:si>
  <x:si>
    <x:t xml:space="preserve">33pF/25V</x:t>
  </x:si>
  <x:si>
    <x:t xml:space="preserve">C10,C20</x:t>
  </x:si>
  <x:si>
    <x:t xml:space="preserve">47nF/16V</x:t>
  </x:si>
  <x:si>
    <x:t xml:space="preserve">C27</x:t>
  </x:si>
  <x:si>
    <x:t xml:space="preserve">100nF/16V</x:t>
  </x:si>
  <x:si>
    <x:t xml:space="preserve">C7,C19,C37,C38,C39,C40,C41,C42,C44,C46,C47,C48,C51,C52,C53,C54,C55,C56</x:t>
  </x:si>
  <x:si>
    <x:t xml:space="preserve">100pF/25V</x:t>
  </x:si>
  <x:si>
    <x:t xml:space="preserve">C15,C43,C45,C50</x:t>
  </x:si>
  <x:si>
    <x:t xml:space="preserve">470nF/16V</x:t>
  </x:si>
  <x:si>
    <x:t xml:space="preserve">C34</x:t>
  </x:si>
  <x:si>
    <x:t xml:space="preserve">C8,C23,C24,C25,C26</x:t>
  </x:si>
  <x:si>
    <x:t xml:space="preserve">C0603</x:t>
  </x:si>
  <x:si>
    <x:t xml:space="preserve">22uF/16V</x:t>
  </x:si>
  <x:si>
    <x:t xml:space="preserve">C18,C21,C22</x:t>
  </x:si>
  <x:si>
    <x:t xml:space="preserve">10uF/25V</x:t>
  </x:si>
  <x:si>
    <x:t xml:space="preserve">C2,C4,C6,C11</x:t>
  </x:si>
  <x:si>
    <x:t xml:space="preserve">C0805</x:t>
  </x:si>
  <x:si>
    <x:t xml:space="preserve">47uF/16V</x:t>
  </x:si>
  <x:si>
    <x:t xml:space="preserve">C3,C5,C12,C13,C14,C17,C28,C29</x:t>
  </x:si>
  <x:si>
    <x:t xml:space="preserve">1.25-2PWB</x:t>
  </x:si>
  <x:si>
    <x:t xml:space="preserve">FPC1,FPC2</x:t>
  </x:si>
  <x:si>
    <x:t xml:space="preserve">CONN-SMD_2P-P1.25_DEALON_1.25-2PWB</x:t>
  </x:si>
  <x:si>
    <x:t xml:space="preserve">DEALON(德艺隆)</x:t>
  </x:si>
  <x:si>
    <x:t xml:space="preserve">WAFER-PH2.0-2PWB</x:t>
  </x:si>
  <x:si>
    <x:t xml:space="preserve">H1</x:t>
  </x:si>
  <x:si>
    <x:t xml:space="preserve">CONN-SMD_2P-P2.00_XUNPU_WAFER-PH2.0-2PWB</x:t>
  </x:si>
  <x:si>
    <x:t xml:space="preserve">XUNPU(讯普)</x:t>
  </x:si>
  <x:si>
    <x:t xml:space="preserve">ZX-ZH1.5-3PLT</x:t>
  </x:si>
  <x:si>
    <x:t xml:space="preserve">U6,U7</x:t>
  </x:si>
  <x:si>
    <x:t xml:space="preserve">CONN-SMD_3P-P1.50_ZX-ZH1.5-3PLT</x:t>
  </x:si>
  <x:si>
    <x:t xml:space="preserve">Megastar(兆星)</x:t>
  </x:si>
  <x:si>
    <x:t xml:space="preserve">NX2016SA-25MHZ-STD-CZS-2</x:t>
  </x:si>
  <x:si>
    <x:t xml:space="preserve">U8</x:t>
  </x:si>
  <x:si>
    <x:t xml:space="preserve">CRYSTAL-SMD_4P-L2.0-W1.6-BL-2</x:t>
  </x:si>
  <x:si>
    <x:t xml:space="preserve">NDK</x:t>
  </x:si>
  <x:si>
    <x:t xml:space="preserve">NX2016SA-26MHZ-STD-CZS-2</x:t>
  </x:si>
  <x:si>
    <x:t xml:space="preserve">U15</x:t>
  </x:si>
  <x:si>
    <x:t xml:space="preserve">NX2016SA-52MHZ-STD-CZS-2</x:t>
  </x:si>
  <x:si>
    <x:t xml:space="preserve">U9</x:t>
  </x:si>
  <x:si>
    <x:t xml:space="preserve">4.7uH</x:t>
  </x:si>
  <x:si>
    <x:t xml:space="preserve">L3</x:t>
  </x:si>
  <x:si>
    <x:t xml:space="preserve">IND-SMD_L2.5-W2.0-VLS252012CX-150M</x:t>
  </x:si>
  <x:si>
    <x:t xml:space="preserve">FTC252010S4R7MBCA</x:t>
  </x:si>
  <x:si>
    <x:t xml:space="preserve">cjiang(长江微电)</x:t>
  </x:si>
  <x:si>
    <x:t xml:space="preserve">1.5uH</x:t>
  </x:si>
  <x:si>
    <x:t xml:space="preserve">L1</x:t>
  </x:si>
  <x:si>
    <x:t xml:space="preserve">IND-SMD_L7.0-W7.0_HA63</x:t>
  </x:si>
  <x:si>
    <x:t xml:space="preserve">HA63-1R5MT</x:t>
  </x:si>
  <x:si>
    <x:t xml:space="preserve">FH(风华)</x:t>
  </x:si>
  <x:si>
    <x:t xml:space="preserve">6GHz</x:t>
  </x:si>
  <x:si>
    <x:t xml:space="preserve">U16</x:t>
  </x:si>
  <x:si>
    <x:t xml:space="preserve">IPEX-SMD_BWIPX-1-001E</x:t>
  </x:si>
  <x:si>
    <x:t xml:space="preserve">BWU.FL-IPEX1</x:t>
  </x:si>
  <x:si>
    <x:t xml:space="preserve">BAT WIRELESS(蝙蝠无线)</x:t>
  </x:si>
  <x:si>
    <x:t xml:space="preserve">1KΩ 100Mhz</x:t>
  </x:si>
  <x:si>
    <x:t xml:space="preserve">L6</x:t>
  </x:si>
  <x:si>
    <x:t xml:space="preserve">L0402</x:t>
  </x:si>
  <x:si>
    <x:t xml:space="preserve">muRata(村田)</x:t>
  </x:si>
  <x:si>
    <x:t xml:space="preserve">2.5nH</x:t>
  </x:si>
  <x:si>
    <x:t xml:space="preserve">L4</x:t>
  </x:si>
  <x:si>
    <x:t xml:space="preserve">LQW15AN2N5B00D</x:t>
  </x:si>
  <x:si>
    <x:t xml:space="preserve">15uH</x:t>
  </x:si>
  <x:si>
    <x:t xml:space="preserve">L2,L5</x:t>
  </x:si>
  <x:si>
    <x:t xml:space="preserve">L0805</x:t>
  </x:si>
  <x:si>
    <x:t xml:space="preserve">XL-1615RGBC-RF</x:t>
  </x:si>
  <x:si>
    <x:t xml:space="preserve">LED1</x:t>
  </x:si>
  <x:si>
    <x:t xml:space="preserve">LED-ARRAY-SMD_4P-L1.6-W1.5-BR_XL-1615RGBC-RF</x:t>
  </x:si>
  <x:si>
    <x:t xml:space="preserve">XINGLIGHT(成兴光)</x:t>
  </x:si>
  <x:si>
    <x:t xml:space="preserve">LED_0402-G</x:t>
  </x:si>
  <x:si>
    <x:t xml:space="preserve">LED2</x:t>
  </x:si>
  <x:si>
    <x:t xml:space="preserve">LED_0402</x:t>
  </x:si>
  <x:si>
    <x:t xml:space="preserve">LSM6DSOWTR</x:t>
  </x:si>
  <x:si>
    <x:t xml:space="preserve">U12</x:t>
  </x:si>
  <x:si>
    <x:t xml:space="preserve">LGA-14L_L3.0-W2.5-P0.50-TL</x:t>
  </x:si>
  <x:si>
    <x:t xml:space="preserve">ST(意法半导体)</x:t>
  </x:si>
  <x:si>
    <x:t xml:space="preserve">AT2401C</x:t>
  </x:si>
  <x:si>
    <x:t xml:space="preserve">U11</x:t>
  </x:si>
  <x:si>
    <x:t xml:space="preserve">QFN-16_L3.0-W3.0-P0.50-BL-EP1.7</x:t>
  </x:si>
  <x:si>
    <x:t xml:space="preserve">杭州中科微</x:t>
  </x:si>
  <x:si>
    <x:t xml:space="preserve">SX1280IMLTRT</x:t>
  </x:si>
  <x:si>
    <x:t xml:space="preserve">U10</x:t>
  </x:si>
  <x:si>
    <x:t xml:space="preserve">QFN-24_L4.0-W4.0-P0.50-BL-EP2.6</x:t>
  </x:si>
  <x:si>
    <x:t xml:space="preserve">SEMTECH</x:t>
  </x:si>
  <x:si>
    <x:t xml:space="preserve">ESP8285H16</x:t>
  </x:si>
  <x:si>
    <x:t xml:space="preserve">U14</x:t>
  </x:si>
  <x:si>
    <x:t xml:space="preserve">QFN-32_L5.0-W5.0-P0.50-TL-EP3.7</x:t>
  </x:si>
  <x:si>
    <x:t xml:space="preserve">ESPRESSIF(乐鑫)</x:t>
  </x:si>
  <x:si>
    <x:t xml:space="preserve">1K</x:t>
  </x:si>
  <x:si>
    <x:t xml:space="preserve">R1,R14,R17,R18,R27,R32</x:t>
  </x:si>
  <x:si>
    <x:t xml:space="preserve">R0402</x:t>
  </x:si>
  <x:si>
    <x:t xml:space="preserve">10K/1%</x:t>
  </x:si>
  <x:si>
    <x:t xml:space="preserve">R3,R8,R10,R15,R16,R25,R26,R28,R29,R30,R34,R35,R36,R37,R38,R39,R40,R41</x:t>
  </x:si>
  <x:si>
    <x:t xml:space="preserve">20K/1%</x:t>
  </x:si>
  <x:si>
    <x:t xml:space="preserve">R33</x:t>
  </x:si>
  <x:si>
    <x:t xml:space="preserve">56K/1%</x:t>
  </x:si>
  <x:si>
    <x:t xml:space="preserve">R5,R7,R9</x:t>
  </x:si>
  <x:si>
    <x:t xml:space="preserve">100K/1%</x:t>
  </x:si>
  <x:si>
    <x:t xml:space="preserve">R4</x:t>
  </x:si>
  <x:si>
    <x:t xml:space="preserve">100R</x:t>
  </x:si>
  <x:si>
    <x:t xml:space="preserve">R12,R13,R19,R20,R21,R22,R23,R24,R31</x:t>
  </x:si>
  <x:si>
    <x:t xml:space="preserve">255K/1%</x:t>
  </x:si>
  <x:si>
    <x:t xml:space="preserve">R2</x:t>
  </x:si>
  <x:si>
    <x:t xml:space="preserve">330K/1%</x:t>
  </x:si>
  <x:si>
    <x:t xml:space="preserve">R6</x:t>
  </x:si>
  <x:si>
    <x:t xml:space="preserve">0R</x:t>
  </x:si>
  <x:si>
    <x:t xml:space="preserve">R11</x:t>
  </x:si>
  <x:si>
    <x:t xml:space="preserve">R0603</x:t>
  </x:si>
  <x:si>
    <x:t xml:space="preserve">AO3400A</x:t>
  </x:si>
  <x:si>
    <x:t xml:space="preserve">Q1</x:t>
  </x:si>
  <x:si>
    <x:t xml:space="preserve">SOT-23-3_L2.9-W1.3-P1.90-LS2.4-BR</x:t>
  </x:si>
  <x:si>
    <x:t xml:space="preserve">UMW(友台半导体)</x:t>
  </x:si>
  <x:si>
    <x:t xml:space="preserve">BAT54S</x:t>
  </x:si>
  <x:si>
    <x:t xml:space="preserve">D1</x:t>
  </x:si>
  <x:si>
    <x:t xml:space="preserve">R+O(宏嘉诚)</x:t>
  </x:si>
  <x:si>
    <x:t xml:space="preserve">RT9013-33GB</x:t>
  </x:si>
  <x:si>
    <x:t xml:space="preserve">U4,U5</x:t>
  </x:si>
  <x:si>
    <x:t xml:space="preserve">SOT-23-5_L3.0-W1.7-P0.95-LS2.8-BL</x:t>
  </x:si>
  <x:si>
    <x:t xml:space="preserve">RICHTEK(立锜)</x:t>
  </x:si>
  <x:si>
    <x:t xml:space="preserve">TPS563201DDCR</x:t>
  </x:si>
  <x:si>
    <x:t xml:space="preserve">U3</x:t>
  </x:si>
  <x:si>
    <x:t xml:space="preserve">SOT-23-6_L2.9-W1.6-P0.95-LS2.8-BR</x:t>
  </x:si>
  <x:si>
    <x:t xml:space="preserve">TI(德州仪器)</x:t>
  </x:si>
  <x:si>
    <x:t xml:space="preserve">TS-1088-AR02016</x:t>
  </x:si>
  <x:si>
    <x:t xml:space="preserve">SW2</x:t>
  </x:si>
  <x:si>
    <x:t xml:space="preserve">SW-SMD_L3.9-W3.0-P4.45</x:t>
  </x:si>
  <x:si>
    <x:t xml:space="preserve">MINI MSK12CO2</x:t>
  </x:si>
  <x:si>
    <x:t xml:space="preserve">SW1</x:t>
  </x:si>
  <x:si>
    <x:t xml:space="preserve">SW-SMD_MSK12CO2</x:t>
  </x:si>
  <x:si>
    <x:t xml:space="preserve">SHOU HAN(首韩)</x:t>
  </x:si>
  <x:si>
    <x:t xml:space="preserve">STM32F411CEU6</x:t>
  </x:si>
  <x:si>
    <x:t xml:space="preserve">U13</x:t>
  </x:si>
  <x:si>
    <x:t xml:space="preserve">UFQFPN-48_L7.0-W7.0-P0.50-BL-EP</x:t>
  </x:si>
  <x:si>
    <x:t xml:space="preserve">TPS61088RHLR</x:t>
  </x:si>
  <x:si>
    <x:t xml:space="preserve">U2</x:t>
  </x:si>
  <x:si>
    <x:t xml:space="preserve">VQFN-20_L4.6-W3.6-P0.50-BL</x:t>
  </x:si>
  <x:si>
    <x:t xml:space="preserve">TPS22990DMLR</x:t>
  </x:si>
  <x:si>
    <x:t xml:space="preserve">U1</x:t>
  </x:si>
  <x:si>
    <x:t xml:space="preserve">WSON-10_L3.0-W2.0-P0.50-BL-EP_TI_DML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</x:si>
</x:sst>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  <x:numFmt numFmtId="201" formatCode="0"/>
  </x:numFmts>
  <x:fonts count="23">
    <x:font>
      <x:sz val="11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1"/>
      <x:color rgb="FF000000"/>
      <x:name val="宋体"/>
    </x:font>
    <x:font>
      <x:i/>
      <x:sz val="11"/>
      <x:color rgb="FF666666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2">
    <x:xf numFmtId="0" fontId="0" fillId="0" borderId="0" xfId="0"/>
    <x:xf numFmtId="0" fontId="0" fillId="33" borderId="0" xfId="0" applyNumberFormat="1" applyFont="1" applyFill="1" applyBorder="1"/>
    <x:xf numFmtId="0" fontId="21" fillId="33" borderId="0" xfId="0" applyNumberFormat="1" applyFont="1" applyFill="1" applyBorder="1"/>
    <x:xf numFmtId="0" fontId="21" fillId="33" borderId="0" xfId="0" applyNumberFormat="1" applyFont="1" applyFill="1" applyBorder="1" applyAlignment="1">
      <x:alignment horizontal="center"/>
    </x:xf>
    <x:xf numFmtId="0" fontId="21" fillId="33" borderId="0" xfId="0" applyNumberFormat="1" applyFont="1" applyFill="1" applyBorder="1" applyAlignment="1">
      <x:alignment horizontal="center" vertical="center"/>
    </x:xf>
    <x:xf numFmtId="0" fontId="21" fillId="33" borderId="0" xfId="0" applyNumberFormat="1" applyFont="1" applyFill="1" applyBorder="1" applyAlignment="1">
      <x:alignment horizontal="center" vertical="center" wrapText="1"/>
    </x:xf>
    <x:xf numFmtId="0" fontId="21" fillId="3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2" fillId="0" borderId="10" xfId="0" applyNumberFormat="1" applyFont="1" applyFill="1" applyBorder="1" applyAlignment="1">
      <x:alignment horizontal="right"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left" vertical="center" wrapText="1"/>
    </x:xf>
    <x:xf numFmtId="200" fontId="0" fillId="34" borderId="0" xfId="0" applyNumberFormat="1" applyFont="1" applyFill="1" applyBorder="1" applyAlignment="1">
      <x:alignment horizontal="right"/>
    </x:xf>
    <x:xf numFmtId="0" fontId="0" fillId="34" borderId="0" xfId="0" applyNumberFormat="1" applyFont="1" applyFill="1" applyBorder="1"/>
    <x:xf numFmtId="201" fontId="0" fillId="34" borderId="0" xfId="0" applyNumberFormat="1" applyFont="1" applyFill="1" applyBorder="1"/>
    <x:xf numFmtId="200" fontId="21" fillId="34" borderId="0" xfId="0" applyNumberFormat="1" applyFont="1" applyFill="1" applyBorder="1" applyAlignment="1">
      <x:alignment horizontal="right"/>
    </x:xf>
    <x:xf numFmtId="0" fontId="21" fillId="34" borderId="0" xfId="0" applyNumberFormat="1" applyFont="1" applyFill="1" applyBorder="1"/>
    <x:xf numFmtId="201" fontId="21" fillId="34" borderId="0" xfId="0" applyNumberFormat="1" applyFont="1" applyFill="1" applyBorder="1"/>
    <x:xf numFmtId="200" fontId="21" fillId="34" borderId="11" xfId="0" applyNumberFormat="1" applyFont="1" applyFill="1" applyBorder="1" applyAlignment="1">
      <x:alignment horizontal="right"/>
    </x:xf>
    <x:xf numFmtId="0" fontId="21" fillId="34" borderId="11" xfId="0" applyNumberFormat="1" applyFont="1" applyFill="1" applyBorder="1"/>
    <x:xf numFmtId="201" fontId="21" fillId="34" borderId="11" xfId="0" applyNumberFormat="1" applyFont="1" applyFill="1" applyBorder="1"/>
    <x:xf numFmtId="0" fontId="0" fillId="35" borderId="0" xfId="0" applyNumberFormat="1" applyFont="1" applyFill="1" applyBorder="1"/>
    <x:xf numFmtId="0" fontId="0" fillId="35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897e4b5a246fc" /><Relationship Type="http://schemas.openxmlformats.org/officeDocument/2006/relationships/theme" Target="/xl/theme/theme1.xml" Id="R7d388737e6824a79" /><Relationship Type="http://schemas.openxmlformats.org/officeDocument/2006/relationships/sharedStrings" Target="/xl/sharedStrings.xml" Id="R1e62a17983874d24" /><Relationship Type="http://schemas.openxmlformats.org/officeDocument/2006/relationships/worksheet" Target="/xl/worksheets/sheet1.xml" Id="Rac724428c2dc4b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7" width="20" customWidth="1"/>
    <x:col min="8" max="8" width="16" hidden="0" customWidth="1"/>
    <x:col min="9" max="9" width="13" hidden="0" customWidth="1"/>
    <x:col min="10" max="10" width="38" hidden="0" customWidth="1"/>
  </x:cols>
  <x:sheetData>
    <x:row r="1" ht="30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s="6" t="str">
        <x:v>单价（元/件，估）</x:v>
      </x:c>
      <x:c r="I1" s="6" t="str">
        <x:v>小计（元）</x:v>
      </x:c>
      <x:c r="J1" s="6" t="str">
        <x:v>价格备注</x:v>
      </x:c>
    </x:row>
    <x:row r="2">
      <x:c r="A2">
        <x:v>1</x:v>
      </x:c>
      <x:c r="B2">
        <x:v>1</x:v>
      </x:c>
      <x:c r="C2" t="s">
        <x:v>7</x:v>
      </x:c>
      <x:c r="D2" t="s">
        <x:v>8</x:v>
      </x:c>
      <x:c r="E2" t="s">
        <x:v>9</x:v>
      </x:c>
      <x:c r="F2" t="s">
        <x:v>10</x:v>
      </x:c>
      <x:c r="G2" t="s">
        <x:v>10</x:v>
      </x:c>
      <x:c r="H2" s="16" t="n">
        <x:v>0.01</x:v>
      </x:c>
      <x:c r="I2" s="14" t="n">
        <x:f>B2*H2</x:f>
        <x:v>0.01</x:v>
      </x:c>
      <x:c r="J2" s="18" t="str">
        <x:v>普通 0402 陶瓷电容，小批量估算</x:v>
      </x:c>
    </x:row>
    <x:row r="3">
      <x:c r="A3">
        <x:v>2</x:v>
      </x:c>
      <x:c r="B3">
        <x:v>3</x:v>
      </x:c>
      <x:c r="C3" t="s">
        <x:v>11</x:v>
      </x:c>
      <x:c r="D3" t="s">
        <x:v>12</x:v>
      </x:c>
      <x:c r="E3" t="s">
        <x:v>9</x:v>
      </x:c>
      <x:c r="F3" t="s">
        <x:v>10</x:v>
      </x:c>
      <x:c r="G3" t="s">
        <x:v>10</x:v>
      </x:c>
      <x:c r="H3" s="16" t="n">
        <x:v>0.02</x:v>
      </x:c>
      <x:c r="I3" s="14" t="n">
        <x:f>B3*H3</x:f>
        <x:v>0.06</x:v>
      </x:c>
      <x:c r="J3" s="18" t="str">
        <x:v>普通 0402 陶瓷电容，小批量估算</x:v>
      </x:c>
    </x:row>
    <x:row r="4">
      <x:c r="A4">
        <x:v>3</x:v>
      </x:c>
      <x:c r="B4">
        <x:v>1</x:v>
      </x:c>
      <x:c r="C4" t="s">
        <x:v>13</x:v>
      </x:c>
      <x:c r="D4" t="s">
        <x:v>14</x:v>
      </x:c>
      <x:c r="E4" t="s">
        <x:v>9</x:v>
      </x:c>
      <x:c r="F4" t="s">
        <x:v>10</x:v>
      </x:c>
      <x:c r="G4" t="s">
        <x:v>10</x:v>
      </x:c>
      <x:c r="H4" s="16" t="n">
        <x:v>0.01</x:v>
      </x:c>
      <x:c r="I4" s="14" t="n">
        <x:f>B4*H4</x:f>
        <x:v>0.01</x:v>
      </x:c>
      <x:c r="J4" s="18" t="str">
        <x:v>普通 0402 陶瓷电容，小批量估算</x:v>
      </x:c>
    </x:row>
    <x:row r="5">
      <x:c r="A5">
        <x:v>4</x:v>
      </x:c>
      <x:c r="B5">
        <x:v>4</x:v>
      </x:c>
      <x:c r="C5" t="s">
        <x:v>15</x:v>
      </x:c>
      <x:c r="D5" t="s">
        <x:v>16</x:v>
      </x:c>
      <x:c r="E5" t="s">
        <x:v>9</x:v>
      </x:c>
      <x:c r="F5" t="s">
        <x:v>10</x:v>
      </x:c>
      <x:c r="G5" t="s">
        <x:v>10</x:v>
      </x:c>
      <x:c r="H5" s="16" t="n">
        <x:v>0.01</x:v>
      </x:c>
      <x:c r="I5" s="14" t="n">
        <x:f>B5*H5</x:f>
        <x:v>0.04</x:v>
      </x:c>
      <x:c r="J5" s="18" t="str">
        <x:v>普通 0402 陶瓷电容，小批量估算</x:v>
      </x:c>
    </x:row>
    <x:row r="6">
      <x:c r="A6">
        <x:v>5</x:v>
      </x:c>
      <x:c r="B6">
        <x:v>2</x:v>
      </x:c>
      <x:c r="C6" t="s">
        <x:v>17</x:v>
      </x:c>
      <x:c r="D6" t="s">
        <x:v>18</x:v>
      </x:c>
      <x:c r="E6" t="s">
        <x:v>9</x:v>
      </x:c>
      <x:c r="F6" t="s">
        <x:v>10</x:v>
      </x:c>
      <x:c r="G6" t="s">
        <x:v>10</x:v>
      </x:c>
      <x:c r="H6" s="16" t="n">
        <x:v>0.01</x:v>
      </x:c>
      <x:c r="I6" s="14" t="n">
        <x:f>B6*H6</x:f>
        <x:v>0.02</x:v>
      </x:c>
      <x:c r="J6" s="18" t="str">
        <x:v>普通 0402 陶瓷电容，小批量估算</x:v>
      </x:c>
    </x:row>
    <x:row r="7">
      <x:c r="A7">
        <x:v>6</x:v>
      </x:c>
      <x:c r="B7">
        <x:v>2</x:v>
      </x:c>
      <x:c r="C7" t="s">
        <x:v>19</x:v>
      </x:c>
      <x:c r="D7" t="s">
        <x:v>20</x:v>
      </x:c>
      <x:c r="E7" t="s">
        <x:v>9</x:v>
      </x:c>
      <x:c r="F7" t="s">
        <x:v>10</x:v>
      </x:c>
      <x:c r="G7" t="s">
        <x:v>10</x:v>
      </x:c>
      <x:c r="H7" s="16" t="n">
        <x:v>0.01</x:v>
      </x:c>
      <x:c r="I7" s="14" t="n">
        <x:f>B7*H7</x:f>
        <x:v>0.02</x:v>
      </x:c>
      <x:c r="J7" s="18" t="str">
        <x:v>普通 0402 陶瓷电容，小批量估算</x:v>
      </x:c>
    </x:row>
    <x:row r="8">
      <x:c r="A8">
        <x:v>7</x:v>
      </x:c>
      <x:c r="B8">
        <x:v>1</x:v>
      </x:c>
      <x:c r="C8" t="s">
        <x:v>21</x:v>
      </x:c>
      <x:c r="D8" t="s">
        <x:v>22</x:v>
      </x:c>
      <x:c r="E8" t="s">
        <x:v>9</x:v>
      </x:c>
      <x:c r="F8" t="s">
        <x:v>10</x:v>
      </x:c>
      <x:c r="G8" t="s">
        <x:v>10</x:v>
      </x:c>
      <x:c r="H8" s="16" t="n">
        <x:v>0.01</x:v>
      </x:c>
      <x:c r="I8" s="14" t="n">
        <x:f>B8*H8</x:f>
        <x:v>0.01</x:v>
      </x:c>
      <x:c r="J8" s="18" t="str">
        <x:v>普通 0402 陶瓷电容，小批量估算</x:v>
      </x:c>
    </x:row>
    <x:row r="9">
      <x:c r="A9">
        <x:v>8</x:v>
      </x:c>
      <x:c r="B9">
        <x:v>18</x:v>
      </x:c>
      <x:c r="C9" t="s">
        <x:v>23</x:v>
      </x:c>
      <x:c r="D9" t="s">
        <x:v>24</x:v>
      </x:c>
      <x:c r="E9" t="s">
        <x:v>9</x:v>
      </x:c>
      <x:c r="F9" t="s">
        <x:v>10</x:v>
      </x:c>
      <x:c r="G9" t="s">
        <x:v>10</x:v>
      </x:c>
      <x:c r="H9" s="16" t="n">
        <x:v>0.01</x:v>
      </x:c>
      <x:c r="I9" s="14" t="n">
        <x:f>B9*H9</x:f>
        <x:v>0.18</x:v>
      </x:c>
      <x:c r="J9" s="18" t="str">
        <x:v>普通 0402 陶瓷电容，小批量估算</x:v>
      </x:c>
    </x:row>
    <x:row r="10">
      <x:c r="A10">
        <x:v>9</x:v>
      </x:c>
      <x:c r="B10">
        <x:v>4</x:v>
      </x:c>
      <x:c r="C10" t="s">
        <x:v>25</x:v>
      </x:c>
      <x:c r="D10" t="s">
        <x:v>26</x:v>
      </x:c>
      <x:c r="E10" t="s">
        <x:v>9</x:v>
      </x:c>
      <x:c r="F10" t="s">
        <x:v>10</x:v>
      </x:c>
      <x:c r="G10" t="s">
        <x:v>10</x:v>
      </x:c>
      <x:c r="H10" s="16" t="n">
        <x:v>0.01</x:v>
      </x:c>
      <x:c r="I10" s="14" t="n">
        <x:f>B10*H10</x:f>
        <x:v>0.04</x:v>
      </x:c>
      <x:c r="J10" s="18" t="str">
        <x:v>普通 0402 陶瓷电容，小批量估算</x:v>
      </x:c>
    </x:row>
    <x:row r="11">
      <x:c r="A11">
        <x:v>10</x:v>
      </x:c>
      <x:c r="B11">
        <x:v>1</x:v>
      </x:c>
      <x:c r="C11" t="s">
        <x:v>27</x:v>
      </x:c>
      <x:c r="D11" t="s">
        <x:v>28</x:v>
      </x:c>
      <x:c r="E11" t="s">
        <x:v>9</x:v>
      </x:c>
      <x:c r="F11" t="s">
        <x:v>10</x:v>
      </x:c>
      <x:c r="G11" t="s">
        <x:v>10</x:v>
      </x:c>
      <x:c r="H11" s="16" t="n">
        <x:v>0.01</x:v>
      </x:c>
      <x:c r="I11" s="14" t="n">
        <x:f>B11*H11</x:f>
        <x:v>0.01</x:v>
      </x:c>
      <x:c r="J11" s="18" t="str">
        <x:v>普通 0402 陶瓷电容，小批量估算</x:v>
      </x:c>
    </x:row>
    <x:row r="12">
      <x:c r="A12">
        <x:v>11</x:v>
      </x:c>
      <x:c r="B12">
        <x:v>5</x:v>
      </x:c>
      <x:c r="C12" t="s">
        <x:v>7</x:v>
      </x:c>
      <x:c r="D12" t="s">
        <x:v>29</x:v>
      </x:c>
      <x:c r="E12" t="s">
        <x:v>30</x:v>
      </x:c>
      <x:c r="F12" t="s">
        <x:v>10</x:v>
      </x:c>
      <x:c r="G12" t="s">
        <x:v>10</x:v>
      </x:c>
      <x:c r="H12" s="16" t="n">
        <x:v>0.02</x:v>
      </x:c>
      <x:c r="I12" s="14" t="n">
        <x:f>B12*H12</x:f>
        <x:v>0.1</x:v>
      </x:c>
      <x:c r="J12" s="18" t="str">
        <x:v>普通 0603 陶瓷电容，小批量估算</x:v>
      </x:c>
    </x:row>
    <x:row r="13">
      <x:c r="A13">
        <x:v>12</x:v>
      </x:c>
      <x:c r="B13">
        <x:v>3</x:v>
      </x:c>
      <x:c r="C13" t="s">
        <x:v>31</x:v>
      </x:c>
      <x:c r="D13" t="s">
        <x:v>32</x:v>
      </x:c>
      <x:c r="E13" t="s">
        <x:v>30</x:v>
      </x:c>
      <x:c r="F13" t="s">
        <x:v>10</x:v>
      </x:c>
      <x:c r="G13" t="s">
        <x:v>10</x:v>
      </x:c>
      <x:c r="H13" s="16" t="n">
        <x:v>0.1</x:v>
      </x:c>
      <x:c r="I13" s="14" t="n">
        <x:f>B13*H13</x:f>
        <x:v>0.30000000000000004</x:v>
      </x:c>
      <x:c r="J13" s="18" t="str">
        <x:v>普通 0603 陶瓷电容，小批量估算</x:v>
      </x:c>
    </x:row>
    <x:row r="14">
      <x:c r="A14">
        <x:v>13</x:v>
      </x:c>
      <x:c r="B14">
        <x:v>4</x:v>
      </x:c>
      <x:c r="C14" t="s">
        <x:v>33</x:v>
      </x:c>
      <x:c r="D14" t="s">
        <x:v>34</x:v>
      </x:c>
      <x:c r="E14" t="s">
        <x:v>35</x:v>
      </x:c>
      <x:c r="F14" t="s">
        <x:v>10</x:v>
      </x:c>
      <x:c r="G14" t="s">
        <x:v>10</x:v>
      </x:c>
      <x:c r="H14" s="16" t="n">
        <x:v>0.08</x:v>
      </x:c>
      <x:c r="I14" s="14" t="n">
        <x:f>B14*H14</x:f>
        <x:v>0.32</x:v>
      </x:c>
      <x:c r="J14" s="18" t="str">
        <x:v>普通 0805 陶瓷电容，小批量估算</x:v>
      </x:c>
    </x:row>
    <x:row r="15">
      <x:c r="A15">
        <x:v>14</x:v>
      </x:c>
      <x:c r="B15">
        <x:v>8</x:v>
      </x:c>
      <x:c r="C15" t="s">
        <x:v>36</x:v>
      </x:c>
      <x:c r="D15" t="s">
        <x:v>37</x:v>
      </x:c>
      <x:c r="E15" t="s">
        <x:v>35</x:v>
      </x:c>
      <x:c r="F15" t="s">
        <x:v>10</x:v>
      </x:c>
      <x:c r="G15" t="s">
        <x:v>10</x:v>
      </x:c>
      <x:c r="H15" s="16" t="n">
        <x:v>0.15</x:v>
      </x:c>
      <x:c r="I15" s="14" t="n">
        <x:f>B15*H15</x:f>
        <x:v>1.2</x:v>
      </x:c>
      <x:c r="J15" s="18" t="str">
        <x:v>普通 0805 陶瓷电容，小批量估算</x:v>
      </x:c>
    </x:row>
    <x:row r="16">
      <x:c r="A16">
        <x:v>15</x:v>
      </x:c>
      <x:c r="B16">
        <x:v>2</x:v>
      </x:c>
      <x:c r="C16" t="s">
        <x:v>38</x:v>
      </x:c>
      <x:c r="D16" t="s">
        <x:v>39</x:v>
      </x:c>
      <x:c r="E16" t="s">
        <x:v>40</x:v>
      </x:c>
      <x:c r="F16" t="s">
        <x:v>38</x:v>
      </x:c>
      <x:c r="G16" t="s">
        <x:v>41</x:v>
      </x:c>
      <x:c r="H16" s="16" t="n">
        <x:v>0.35</x:v>
      </x:c>
      <x:c r="I16" s="14" t="n">
        <x:f>B16*H16</x:f>
        <x:v>0.7</x:v>
      </x:c>
      <x:c r="J16" s="18" t="str">
        <x:v>1.25mm 双针连接器，小批量估算</x:v>
      </x:c>
    </x:row>
    <x:row r="17">
      <x:c r="A17">
        <x:v>16</x:v>
      </x:c>
      <x:c r="B17">
        <x:v>1</x:v>
      </x:c>
      <x:c r="C17" t="s">
        <x:v>42</x:v>
      </x:c>
      <x:c r="D17" t="s">
        <x:v>43</x:v>
      </x:c>
      <x:c r="E17" t="s">
        <x:v>44</x:v>
      </x:c>
      <x:c r="F17" t="s">
        <x:v>42</x:v>
      </x:c>
      <x:c r="G17" t="s">
        <x:v>45</x:v>
      </x:c>
      <x:c r="H17" s="16" t="n">
        <x:v>0.2</x:v>
      </x:c>
      <x:c r="I17" s="14" t="n">
        <x:f>B17*H17</x:f>
        <x:v>0.2</x:v>
      </x:c>
      <x:c r="J17" s="18" t="str">
        <x:v>2.00mm 双针连接器，小批量估算</x:v>
      </x:c>
    </x:row>
    <x:row r="18">
      <x:c r="A18">
        <x:v>17</x:v>
      </x:c>
      <x:c r="B18">
        <x:v>2</x:v>
      </x:c>
      <x:c r="C18" t="s">
        <x:v>46</x:v>
      </x:c>
      <x:c r="D18" t="s">
        <x:v>47</x:v>
      </x:c>
      <x:c r="E18" t="s">
        <x:v>48</x:v>
      </x:c>
      <x:c r="F18" t="s">
        <x:v>46</x:v>
      </x:c>
      <x:c r="G18" t="s">
        <x:v>49</x:v>
      </x:c>
      <x:c r="H18" s="16" t="n">
        <x:v>0.35</x:v>
      </x:c>
      <x:c r="I18" s="14" t="n">
        <x:f>B18*H18</x:f>
        <x:v>0.7</x:v>
      </x:c>
      <x:c r="J18" s="18" t="str">
        <x:v>1.50mm 三针连接器，小批量估算</x:v>
      </x:c>
    </x:row>
    <x:row r="19">
      <x:c r="A19">
        <x:v>18</x:v>
      </x:c>
      <x:c r="B19">
        <x:v>1</x:v>
      </x:c>
      <x:c r="C19" t="s">
        <x:v>50</x:v>
      </x:c>
      <x:c r="D19" t="s">
        <x:v>51</x:v>
      </x:c>
      <x:c r="E19" t="s">
        <x:v>52</x:v>
      </x:c>
      <x:c r="F19" t="s">
        <x:v>50</x:v>
      </x:c>
      <x:c r="G19" t="s">
        <x:v>53</x:v>
      </x:c>
      <x:c r="H19" s="16" t="n">
        <x:v>0.8</x:v>
      </x:c>
      <x:c r="I19" s="14" t="n">
        <x:f>B19*H19</x:f>
        <x:v>0.8</x:v>
      </x:c>
      <x:c r="J19" s="18" t="str">
        <x:v>NDK 有源晶体/晶振，渠道价估算</x:v>
      </x:c>
    </x:row>
    <x:row r="20">
      <x:c r="A20">
        <x:v>19</x:v>
      </x:c>
      <x:c r="B20">
        <x:v>1</x:v>
      </x:c>
      <x:c r="C20" t="s">
        <x:v>54</x:v>
      </x:c>
      <x:c r="D20" t="s">
        <x:v>55</x:v>
      </x:c>
      <x:c r="E20" t="s">
        <x:v>52</x:v>
      </x:c>
      <x:c r="F20" t="s">
        <x:v>54</x:v>
      </x:c>
      <x:c r="G20" t="s">
        <x:v>53</x:v>
      </x:c>
      <x:c r="H20" s="16" t="n">
        <x:v>0.8</x:v>
      </x:c>
      <x:c r="I20" s="14" t="n">
        <x:f>B20*H20</x:f>
        <x:v>0.8</x:v>
      </x:c>
      <x:c r="J20" s="18" t="str">
        <x:v>NDK 有源晶体/晶振，渠道价估算</x:v>
      </x:c>
    </x:row>
    <x:row r="21">
      <x:c r="A21">
        <x:v>20</x:v>
      </x:c>
      <x:c r="B21">
        <x:v>1</x:v>
      </x:c>
      <x:c r="C21" t="s">
        <x:v>56</x:v>
      </x:c>
      <x:c r="D21" t="s">
        <x:v>57</x:v>
      </x:c>
      <x:c r="E21" t="s">
        <x:v>52</x:v>
      </x:c>
      <x:c r="F21" t="s">
        <x:v>56</x:v>
      </x:c>
      <x:c r="G21" t="s">
        <x:v>53</x:v>
      </x:c>
      <x:c r="H21" s="16" t="n">
        <x:v>0.8</x:v>
      </x:c>
      <x:c r="I21" s="14" t="n">
        <x:f>B21*H21</x:f>
        <x:v>0.8</x:v>
      </x:c>
      <x:c r="J21" s="18" t="str">
        <x:v>NDK 有源晶体/晶振，渠道价估算</x:v>
      </x:c>
    </x:row>
    <x:row r="22">
      <x:c r="A22">
        <x:v>21</x:v>
      </x:c>
      <x:c r="B22">
        <x:v>1</x:v>
      </x:c>
      <x:c r="C22" t="s">
        <x:v>58</x:v>
      </x:c>
      <x:c r="D22" t="s">
        <x:v>59</x:v>
      </x:c>
      <x:c r="E22" t="s">
        <x:v>60</x:v>
      </x:c>
      <x:c r="F22" t="s">
        <x:v>61</x:v>
      </x:c>
      <x:c r="G22" t="s">
        <x:v>62</x:v>
      </x:c>
      <x:c r="H22" s="16" t="n">
        <x:v>0.15</x:v>
      </x:c>
      <x:c r="I22" s="14" t="n">
        <x:f>B22*H22</x:f>
        <x:v>0.15</x:v>
      </x:c>
      <x:c r="J22" s="18" t="str">
        <x:v>4.7uH 功率电感，小批量估算</x:v>
      </x:c>
    </x:row>
    <x:row r="23">
      <x:c r="A23">
        <x:v>22</x:v>
      </x:c>
      <x:c r="B23">
        <x:v>1</x:v>
      </x:c>
      <x:c r="C23" t="s">
        <x:v>63</x:v>
      </x:c>
      <x:c r="D23" t="s">
        <x:v>64</x:v>
      </x:c>
      <x:c r="E23" t="s">
        <x:v>65</x:v>
      </x:c>
      <x:c r="F23" t="s">
        <x:v>66</x:v>
      </x:c>
      <x:c r="G23" t="s">
        <x:v>67</x:v>
      </x:c>
      <x:c r="H23" s="16" t="n">
        <x:v>0.2</x:v>
      </x:c>
      <x:c r="I23" s="14" t="n">
        <x:f>B23*H23</x:f>
        <x:v>0.2</x:v>
      </x:c>
      <x:c r="J23" s="18" t="str">
        <x:v>1.5uH 功率电感，小批量估算</x:v>
      </x:c>
    </x:row>
    <x:row r="24">
      <x:c r="A24">
        <x:v>23</x:v>
      </x:c>
      <x:c r="B24">
        <x:v>1</x:v>
      </x:c>
      <x:c r="C24" t="s">
        <x:v>68</x:v>
      </x:c>
      <x:c r="D24" t="s">
        <x:v>69</x:v>
      </x:c>
      <x:c r="E24" t="s">
        <x:v>70</x:v>
      </x:c>
      <x:c r="F24" t="s">
        <x:v>71</x:v>
      </x:c>
      <x:c r="G24" t="s">
        <x:v>72</x:v>
      </x:c>
      <x:c r="H24" s="16" t="n">
        <x:v>1</x:v>
      </x:c>
      <x:c r="I24" s="14" t="n">
        <x:f>B24*H24</x:f>
        <x:v>1</x:v>
      </x:c>
      <x:c r="J24" s="18" t="str">
        <x:v>IPEX 射频座，小批量估算</x:v>
      </x:c>
    </x:row>
    <x:row r="25">
      <x:c r="A25">
        <x:v>24</x:v>
      </x:c>
      <x:c r="B25">
        <x:v>1</x:v>
      </x:c>
      <x:c r="C25" t="s">
        <x:v>73</x:v>
      </x:c>
      <x:c r="D25" t="s">
        <x:v>74</x:v>
      </x:c>
      <x:c r="E25" t="s">
        <x:v>75</x:v>
      </x:c>
      <x:c r="F25" t="s">
        <x:v>10</x:v>
      </x:c>
      <x:c r="G25" t="s">
        <x:v>76</x:v>
      </x:c>
      <x:c r="H25" s="16" t="n">
        <x:v>0.08</x:v>
      </x:c>
      <x:c r="I25" s="14" t="n">
        <x:f>B25*H25</x:f>
        <x:v>0.08</x:v>
      </x:c>
      <x:c r="J25" s="18" t="str">
        <x:v>0402 磁珠/高频阻抗器件，按常见料估算</x:v>
      </x:c>
    </x:row>
    <x:row r="26">
      <x:c r="A26">
        <x:v>25</x:v>
      </x:c>
      <x:c r="B26">
        <x:v>1</x:v>
      </x:c>
      <x:c r="C26" t="s">
        <x:v>77</x:v>
      </x:c>
      <x:c r="D26" t="s">
        <x:v>78</x:v>
      </x:c>
      <x:c r="E26" t="s">
        <x:v>75</x:v>
      </x:c>
      <x:c r="F26" t="s">
        <x:v>79</x:v>
      </x:c>
      <x:c r="G26" t="s">
        <x:v>76</x:v>
      </x:c>
      <x:c r="H26" s="16" t="n">
        <x:v>0.4</x:v>
      </x:c>
      <x:c r="I26" s="14" t="n">
        <x:f>B26*H26</x:f>
        <x:v>0.4</x:v>
      </x:c>
      <x:c r="J26" s="18" t="str">
        <x:v>Murata 高频电感，渠道价估算</x:v>
      </x:c>
    </x:row>
    <x:row r="27">
      <x:c r="A27">
        <x:v>26</x:v>
      </x:c>
      <x:c r="B27">
        <x:v>2</x:v>
      </x:c>
      <x:c r="C27" t="s">
        <x:v>80</x:v>
      </x:c>
      <x:c r="D27" t="s">
        <x:v>81</x:v>
      </x:c>
      <x:c r="E27" t="s">
        <x:v>82</x:v>
      </x:c>
      <x:c r="F27" t="s">
        <x:v>10</x:v>
      </x:c>
      <x:c r="G27" t="s">
        <x:v>10</x:v>
      </x:c>
      <x:c r="H27" s="16" t="n">
        <x:v>0.12</x:v>
      </x:c>
      <x:c r="I27" s="14" t="n">
        <x:f>B27*H27</x:f>
        <x:v>0.24</x:v>
      </x:c>
      <x:c r="J27" s="18" t="str">
        <x:v>0805 电感，小批量估算</x:v>
      </x:c>
    </x:row>
    <x:row r="28">
      <x:c r="A28">
        <x:v>27</x:v>
      </x:c>
      <x:c r="B28">
        <x:v>1</x:v>
      </x:c>
      <x:c r="C28" t="s">
        <x:v>83</x:v>
      </x:c>
      <x:c r="D28" t="s">
        <x:v>84</x:v>
      </x:c>
      <x:c r="E28" t="s">
        <x:v>85</x:v>
      </x:c>
      <x:c r="F28" t="s">
        <x:v>83</x:v>
      </x:c>
      <x:c r="G28" t="s">
        <x:v>86</x:v>
      </x:c>
      <x:c r="H28" s="16" t="n">
        <x:v>0.25</x:v>
      </x:c>
      <x:c r="I28" s="14" t="n">
        <x:f>B28*H28</x:f>
        <x:v>0.25</x:v>
      </x:c>
      <x:c r="J28" s="18" t="str">
        <x:v>RGB LED，小批量估算</x:v>
      </x:c>
    </x:row>
    <x:row r="29">
      <x:c r="A29">
        <x:v>28</x:v>
      </x:c>
      <x:c r="B29">
        <x:v>1</x:v>
      </x:c>
      <x:c r="C29" t="s">
        <x:v>87</x:v>
      </x:c>
      <x:c r="D29" t="s">
        <x:v>88</x:v>
      </x:c>
      <x:c r="E29" t="s">
        <x:v>89</x:v>
      </x:c>
      <x:c r="F29" t="s">
        <x:v>10</x:v>
      </x:c>
      <x:c r="G29" t="s">
        <x:v>10</x:v>
      </x:c>
      <x:c r="H29" s="16" t="n">
        <x:v>0.04</x:v>
      </x:c>
      <x:c r="I29" s="14" t="n">
        <x:f>B29*H29</x:f>
        <x:v>0.04</x:v>
      </x:c>
      <x:c r="J29" s="18" t="str">
        <x:v>0402 绿色 LED，小批量估算</x:v>
      </x:c>
    </x:row>
    <x:row r="30">
      <x:c r="A30">
        <x:v>29</x:v>
      </x:c>
      <x:c r="B30">
        <x:v>1</x:v>
      </x:c>
      <x:c r="C30" t="s">
        <x:v>90</x:v>
      </x:c>
      <x:c r="D30" t="s">
        <x:v>91</x:v>
      </x:c>
      <x:c r="E30" t="s">
        <x:v>92</x:v>
      </x:c>
      <x:c r="F30" t="s">
        <x:v>90</x:v>
      </x:c>
      <x:c r="G30" t="s">
        <x:v>93</x:v>
      </x:c>
      <x:c r="H30" s="16" t="n">
        <x:v>6</x:v>
      </x:c>
      <x:c r="I30" s="14" t="n">
        <x:f>B30*H30</x:f>
        <x:v>6</x:v>
      </x:c>
      <x:c r="J30" s="18" t="str">
        <x:v>ST LSM6DSO，常见小批量渠道价估算</x:v>
      </x:c>
    </x:row>
    <x:row r="31">
      <x:c r="A31">
        <x:v>30</x:v>
      </x:c>
      <x:c r="B31">
        <x:v>1</x:v>
      </x:c>
      <x:c r="C31" t="s">
        <x:v>94</x:v>
      </x:c>
      <x:c r="D31" t="s">
        <x:v>95</x:v>
      </x:c>
      <x:c r="E31" t="s">
        <x:v>96</x:v>
      </x:c>
      <x:c r="F31" t="s">
        <x:v>94</x:v>
      </x:c>
      <x:c r="G31" t="s">
        <x:v>97</x:v>
      </x:c>
      <x:c r="H31" s="16" t="n">
        <x:v>0.8</x:v>
      </x:c>
      <x:c r="I31" s="14" t="n">
        <x:f>B31*H31</x:f>
        <x:v>0.8</x:v>
      </x:c>
      <x:c r="J31" s="18" t="str">
        <x:v>AT2401C 射频芯片，小批量估算</x:v>
      </x:c>
    </x:row>
    <x:row r="32">
      <x:c r="A32">
        <x:v>31</x:v>
      </x:c>
      <x:c r="B32">
        <x:v>1</x:v>
      </x:c>
      <x:c r="C32" t="s">
        <x:v>98</x:v>
      </x:c>
      <x:c r="D32" t="s">
        <x:v>99</x:v>
      </x:c>
      <x:c r="E32" t="s">
        <x:v>100</x:v>
      </x:c>
      <x:c r="F32" t="s">
        <x:v>98</x:v>
      </x:c>
      <x:c r="G32" t="s">
        <x:v>101</x:v>
      </x:c>
      <x:c r="H32" s="16" t="n">
        <x:v>11.5</x:v>
      </x:c>
      <x:c r="I32" s="14" t="n">
        <x:f>B32*H32</x:f>
        <x:v>11.5</x:v>
      </x:c>
      <x:c r="J32" s="18" t="str">
        <x:v>Semtech SX1280，常见小批量渠道价估算</x:v>
      </x:c>
    </x:row>
    <x:row r="33">
      <x:c r="A33">
        <x:v>32</x:v>
      </x:c>
      <x:c r="B33">
        <x:v>1</x:v>
      </x:c>
      <x:c r="C33" t="s">
        <x:v>102</x:v>
      </x:c>
      <x:c r="D33" t="s">
        <x:v>103</x:v>
      </x:c>
      <x:c r="E33" t="s">
        <x:v>104</x:v>
      </x:c>
      <x:c r="F33" t="s">
        <x:v>102</x:v>
      </x:c>
      <x:c r="G33" t="s">
        <x:v>105</x:v>
      </x:c>
      <x:c r="H33" s="16" t="n">
        <x:v>4.5</x:v>
      </x:c>
      <x:c r="I33" s="14" t="n">
        <x:f>B33*H33</x:f>
        <x:v>4.5</x:v>
      </x:c>
      <x:c r="J33" s="18" t="str">
        <x:v>Espressif ESP8285，常见小批量渠道价估算</x:v>
      </x:c>
    </x:row>
    <x:row r="34">
      <x:c r="A34">
        <x:v>33</x:v>
      </x:c>
      <x:c r="B34">
        <x:v>6</x:v>
      </x:c>
      <x:c r="C34" t="s">
        <x:v>106</x:v>
      </x:c>
      <x:c r="D34" t="s">
        <x:v>107</x:v>
      </x:c>
      <x:c r="E34" t="s">
        <x:v>108</x:v>
      </x:c>
      <x:c r="F34" t="s">
        <x:v>10</x:v>
      </x:c>
      <x:c r="G34" t="s">
        <x:v>10</x:v>
      </x:c>
      <x:c r="H34" s="16" t="n">
        <x:v>0.01</x:v>
      </x:c>
      <x:c r="I34" s="14" t="n">
        <x:f>B34*H34</x:f>
        <x:v>0.06</x:v>
      </x:c>
      <x:c r="J34" s="18" t="str">
        <x:v>普通 0402 电阻，小批量估算</x:v>
      </x:c>
    </x:row>
    <x:row r="35">
      <x:c r="A35">
        <x:v>34</x:v>
      </x:c>
      <x:c r="B35">
        <x:v>18</x:v>
      </x:c>
      <x:c r="C35" t="s">
        <x:v>109</x:v>
      </x:c>
      <x:c r="D35" t="s">
        <x:v>110</x:v>
      </x:c>
      <x:c r="E35" t="s">
        <x:v>108</x:v>
      </x:c>
      <x:c r="F35" t="s">
        <x:v>10</x:v>
      </x:c>
      <x:c r="G35" t="s">
        <x:v>10</x:v>
      </x:c>
      <x:c r="H35" s="16" t="n">
        <x:v>0.01</x:v>
      </x:c>
      <x:c r="I35" s="14" t="n">
        <x:f>B35*H35</x:f>
        <x:v>0.18</x:v>
      </x:c>
      <x:c r="J35" s="18" t="str">
        <x:v>普通 0402 1% 电阻，小批量估算</x:v>
      </x:c>
    </x:row>
    <x:row r="36">
      <x:c r="A36">
        <x:v>35</x:v>
      </x:c>
      <x:c r="B36">
        <x:v>1</x:v>
      </x:c>
      <x:c r="C36" t="s">
        <x:v>111</x:v>
      </x:c>
      <x:c r="D36" t="s">
        <x:v>112</x:v>
      </x:c>
      <x:c r="E36" t="s">
        <x:v>108</x:v>
      </x:c>
      <x:c r="F36" t="s">
        <x:v>10</x:v>
      </x:c>
      <x:c r="G36" t="s">
        <x:v>10</x:v>
      </x:c>
      <x:c r="H36" s="16" t="n">
        <x:v>0.01</x:v>
      </x:c>
      <x:c r="I36" s="14" t="n">
        <x:f>B36*H36</x:f>
        <x:v>0.01</x:v>
      </x:c>
      <x:c r="J36" s="18" t="str">
        <x:v>普通 0402 1% 电阻，小批量估算</x:v>
      </x:c>
    </x:row>
    <x:row r="37">
      <x:c r="A37">
        <x:v>36</x:v>
      </x:c>
      <x:c r="B37">
        <x:v>3</x:v>
      </x:c>
      <x:c r="C37" t="s">
        <x:v>113</x:v>
      </x:c>
      <x:c r="D37" t="s">
        <x:v>114</x:v>
      </x:c>
      <x:c r="E37" t="s">
        <x:v>108</x:v>
      </x:c>
      <x:c r="F37" t="s">
        <x:v>10</x:v>
      </x:c>
      <x:c r="G37" t="s">
        <x:v>10</x:v>
      </x:c>
      <x:c r="H37" s="16" t="n">
        <x:v>0.01</x:v>
      </x:c>
      <x:c r="I37" s="14" t="n">
        <x:f>B37*H37</x:f>
        <x:v>0.03</x:v>
      </x:c>
      <x:c r="J37" s="18" t="str">
        <x:v>普通 0402 1% 电阻，小批量估算</x:v>
      </x:c>
    </x:row>
    <x:row r="38">
      <x:c r="A38">
        <x:v>37</x:v>
      </x:c>
      <x:c r="B38">
        <x:v>1</x:v>
      </x:c>
      <x:c r="C38" t="s">
        <x:v>115</x:v>
      </x:c>
      <x:c r="D38" t="s">
        <x:v>116</x:v>
      </x:c>
      <x:c r="E38" t="s">
        <x:v>108</x:v>
      </x:c>
      <x:c r="F38" t="s">
        <x:v>10</x:v>
      </x:c>
      <x:c r="G38" t="s">
        <x:v>10</x:v>
      </x:c>
      <x:c r="H38" s="16" t="n">
        <x:v>0.01</x:v>
      </x:c>
      <x:c r="I38" s="14" t="n">
        <x:f>B38*H38</x:f>
        <x:v>0.01</x:v>
      </x:c>
      <x:c r="J38" s="18" t="str">
        <x:v>普通 0402 1% 电阻，小批量估算</x:v>
      </x:c>
    </x:row>
    <x:row r="39">
      <x:c r="A39">
        <x:v>38</x:v>
      </x:c>
      <x:c r="B39">
        <x:v>9</x:v>
      </x:c>
      <x:c r="C39" t="s">
        <x:v>117</x:v>
      </x:c>
      <x:c r="D39" t="s">
        <x:v>118</x:v>
      </x:c>
      <x:c r="E39" t="s">
        <x:v>108</x:v>
      </x:c>
      <x:c r="F39" t="s">
        <x:v>10</x:v>
      </x:c>
      <x:c r="G39" t="s">
        <x:v>10</x:v>
      </x:c>
      <x:c r="H39" s="16" t="n">
        <x:v>0.01</x:v>
      </x:c>
      <x:c r="I39" s="14" t="n">
        <x:f>B39*H39</x:f>
        <x:v>0.09</x:v>
      </x:c>
      <x:c r="J39" s="18" t="str">
        <x:v>普通 0402 电阻，小批量估算</x:v>
      </x:c>
    </x:row>
    <x:row r="40">
      <x:c r="A40">
        <x:v>39</x:v>
      </x:c>
      <x:c r="B40">
        <x:v>1</x:v>
      </x:c>
      <x:c r="C40" t="s">
        <x:v>119</x:v>
      </x:c>
      <x:c r="D40" t="s">
        <x:v>120</x:v>
      </x:c>
      <x:c r="E40" t="s">
        <x:v>108</x:v>
      </x:c>
      <x:c r="F40" t="s">
        <x:v>10</x:v>
      </x:c>
      <x:c r="G40" t="s">
        <x:v>10</x:v>
      </x:c>
      <x:c r="H40" s="16" t="n">
        <x:v>0.01</x:v>
      </x:c>
      <x:c r="I40" s="14" t="n">
        <x:f>B40*H40</x:f>
        <x:v>0.01</x:v>
      </x:c>
      <x:c r="J40" s="18" t="str">
        <x:v>普通 0402 1% 电阻，小批量估算</x:v>
      </x:c>
    </x:row>
    <x:row r="41">
      <x:c r="A41">
        <x:v>40</x:v>
      </x:c>
      <x:c r="B41">
        <x:v>1</x:v>
      </x:c>
      <x:c r="C41" t="s">
        <x:v>121</x:v>
      </x:c>
      <x:c r="D41" t="s">
        <x:v>122</x:v>
      </x:c>
      <x:c r="E41" t="s">
        <x:v>108</x:v>
      </x:c>
      <x:c r="F41" t="s">
        <x:v>10</x:v>
      </x:c>
      <x:c r="G41" t="s">
        <x:v>10</x:v>
      </x:c>
      <x:c r="H41" s="16" t="n">
        <x:v>0.01</x:v>
      </x:c>
      <x:c r="I41" s="14" t="n">
        <x:f>B41*H41</x:f>
        <x:v>0.01</x:v>
      </x:c>
      <x:c r="J41" s="18" t="str">
        <x:v>普通 0402 1% 电阻，小批量估算</x:v>
      </x:c>
    </x:row>
    <x:row r="42">
      <x:c r="A42">
        <x:v>41</x:v>
      </x:c>
      <x:c r="B42">
        <x:v>1</x:v>
      </x:c>
      <x:c r="C42" t="s">
        <x:v>123</x:v>
      </x:c>
      <x:c r="D42" t="s">
        <x:v>124</x:v>
      </x:c>
      <x:c r="E42" t="s">
        <x:v>125</x:v>
      </x:c>
      <x:c r="F42" t="s">
        <x:v>10</x:v>
      </x:c>
      <x:c r="G42" t="s">
        <x:v>10</x:v>
      </x:c>
      <x:c r="H42" s="16" t="n">
        <x:v>0.02</x:v>
      </x:c>
      <x:c r="I42" s="14" t="n">
        <x:f>B42*H42</x:f>
        <x:v>0.02</x:v>
      </x:c>
      <x:c r="J42" s="18" t="str">
        <x:v>普通 0603 0R 电阻，小批量估算</x:v>
      </x:c>
    </x:row>
    <x:row r="43">
      <x:c r="A43">
        <x:v>42</x:v>
      </x:c>
      <x:c r="B43">
        <x:v>1</x:v>
      </x:c>
      <x:c r="C43" t="s">
        <x:v>126</x:v>
      </x:c>
      <x:c r="D43" t="s">
        <x:v>127</x:v>
      </x:c>
      <x:c r="E43" t="s">
        <x:v>128</x:v>
      </x:c>
      <x:c r="F43" t="s">
        <x:v>126</x:v>
      </x:c>
      <x:c r="G43" t="s">
        <x:v>129</x:v>
      </x:c>
      <x:c r="H43" s="16" t="n">
        <x:v>0.1</x:v>
      </x:c>
      <x:c r="I43" s="14" t="n">
        <x:f>B43*H43</x:f>
        <x:v>0.1</x:v>
      </x:c>
      <x:c r="J43" s="18" t="str">
        <x:v>AO3400A MOSFET，小批量估算</x:v>
      </x:c>
    </x:row>
    <x:row r="44">
      <x:c r="A44">
        <x:v>43</x:v>
      </x:c>
      <x:c r="B44">
        <x:v>1</x:v>
      </x:c>
      <x:c r="C44" t="s">
        <x:v>130</x:v>
      </x:c>
      <x:c r="D44" t="s">
        <x:v>131</x:v>
      </x:c>
      <x:c r="E44" t="s">
        <x:v>128</x:v>
      </x:c>
      <x:c r="F44" t="s">
        <x:v>130</x:v>
      </x:c>
      <x:c r="G44" t="s">
        <x:v>132</x:v>
      </x:c>
      <x:c r="H44" s="16" t="n">
        <x:v>0.12</x:v>
      </x:c>
      <x:c r="I44" s="14" t="n">
        <x:f>B44*H44</x:f>
        <x:v>0.12</x:v>
      </x:c>
      <x:c r="J44" s="18" t="str">
        <x:v>BAT54S 肖特基二极管，小批量估算</x:v>
      </x:c>
    </x:row>
    <x:row r="45">
      <x:c r="A45">
        <x:v>44</x:v>
      </x:c>
      <x:c r="B45">
        <x:v>2</x:v>
      </x:c>
      <x:c r="C45" t="s">
        <x:v>133</x:v>
      </x:c>
      <x:c r="D45" t="s">
        <x:v>134</x:v>
      </x:c>
      <x:c r="E45" t="s">
        <x:v>135</x:v>
      </x:c>
      <x:c r="F45" t="s">
        <x:v>133</x:v>
      </x:c>
      <x:c r="G45" t="s">
        <x:v>136</x:v>
      </x:c>
      <x:c r="H45" s="16" t="n">
        <x:v>0.3</x:v>
      </x:c>
      <x:c r="I45" s="14" t="n">
        <x:f>B45*H45</x:f>
        <x:v>0.6</x:v>
      </x:c>
      <x:c r="J45" s="18" t="str">
        <x:v>RT9013-33GB LDO，小批量估算</x:v>
      </x:c>
    </x:row>
    <x:row r="46">
      <x:c r="A46">
        <x:v>45</x:v>
      </x:c>
      <x:c r="B46">
        <x:v>1</x:v>
      </x:c>
      <x:c r="C46" t="s">
        <x:v>137</x:v>
      </x:c>
      <x:c r="D46" t="s">
        <x:v>138</x:v>
      </x:c>
      <x:c r="E46" t="s">
        <x:v>139</x:v>
      </x:c>
      <x:c r="F46" t="s">
        <x:v>137</x:v>
      </x:c>
      <x:c r="G46" t="s">
        <x:v>140</x:v>
      </x:c>
      <x:c r="H46" s="16" t="n">
        <x:v>1.8</x:v>
      </x:c>
      <x:c r="I46" s="14" t="n">
        <x:f>B46*H46</x:f>
        <x:v>1.8</x:v>
      </x:c>
      <x:c r="J46" s="18" t="str">
        <x:v>TI TPS563201 降压芯片，渠道价估算</x:v>
      </x:c>
    </x:row>
    <x:row r="47">
      <x:c r="A47">
        <x:v>46</x:v>
      </x:c>
      <x:c r="B47">
        <x:v>1</x:v>
      </x:c>
      <x:c r="C47" t="s">
        <x:v>141</x:v>
      </x:c>
      <x:c r="D47" t="s">
        <x:v>142</x:v>
      </x:c>
      <x:c r="E47" t="s">
        <x:v>143</x:v>
      </x:c>
      <x:c r="F47" t="s">
        <x:v>141</x:v>
      </x:c>
      <x:c r="G47" t="s">
        <x:v>45</x:v>
      </x:c>
      <x:c r="H47" s="16" t="n">
        <x:v>0.08</x:v>
      </x:c>
      <x:c r="I47" s="14" t="n">
        <x:f>B47*H47</x:f>
        <x:v>0.08</x:v>
      </x:c>
      <x:c r="J47" s="18" t="str">
        <x:v>轻触按键，小批量估算</x:v>
      </x:c>
    </x:row>
    <x:row r="48">
      <x:c r="A48">
        <x:v>47</x:v>
      </x:c>
      <x:c r="B48">
        <x:v>1</x:v>
      </x:c>
      <x:c r="C48" t="s">
        <x:v>144</x:v>
      </x:c>
      <x:c r="D48" t="s">
        <x:v>145</x:v>
      </x:c>
      <x:c r="E48" t="s">
        <x:v>146</x:v>
      </x:c>
      <x:c r="F48" t="s">
        <x:v>144</x:v>
      </x:c>
      <x:c r="G48" t="s">
        <x:v>147</x:v>
      </x:c>
      <x:c r="H48" s="16" t="n">
        <x:v>0.35</x:v>
      </x:c>
      <x:c r="I48" s="14" t="n">
        <x:f>B48*H48</x:f>
        <x:v>0.35</x:v>
      </x:c>
      <x:c r="J48" s="18" t="str">
        <x:v>拨动开关，小批量估算</x:v>
      </x:c>
    </x:row>
    <x:row r="49">
      <x:c r="A49">
        <x:v>48</x:v>
      </x:c>
      <x:c r="B49">
        <x:v>1</x:v>
      </x:c>
      <x:c r="C49" t="s">
        <x:v>148</x:v>
      </x:c>
      <x:c r="D49" t="s">
        <x:v>149</x:v>
      </x:c>
      <x:c r="E49" t="s">
        <x:v>150</x:v>
      </x:c>
      <x:c r="F49" t="s">
        <x:v>148</x:v>
      </x:c>
      <x:c r="G49" t="s">
        <x:v>93</x:v>
      </x:c>
      <x:c r="H49" s="16" t="n">
        <x:v>8</x:v>
      </x:c>
      <x:c r="I49" s="14" t="n">
        <x:f>B49*H49</x:f>
        <x:v>8</x:v>
      </x:c>
      <x:c r="J49" s="18" t="str">
        <x:v>ST STM32F411CEU6，常见小批量渠道价估算</x:v>
      </x:c>
    </x:row>
    <x:row r="50">
      <x:c r="A50">
        <x:v>49</x:v>
      </x:c>
      <x:c r="B50">
        <x:v>1</x:v>
      </x:c>
      <x:c r="C50" t="s">
        <x:v>151</x:v>
      </x:c>
      <x:c r="D50" t="s">
        <x:v>152</x:v>
      </x:c>
      <x:c r="E50" t="s">
        <x:v>153</x:v>
      </x:c>
      <x:c r="F50" t="s">
        <x:v>151</x:v>
      </x:c>
      <x:c r="G50" t="s">
        <x:v>140</x:v>
      </x:c>
      <x:c r="H50" s="16" t="n">
        <x:v>4</x:v>
      </x:c>
      <x:c r="I50" s="14" t="n">
        <x:f>B50*H50</x:f>
        <x:v>4</x:v>
      </x:c>
      <x:c r="J50" s="18" t="str">
        <x:v>TI TPS61088 升压芯片，渠道价估算</x:v>
      </x:c>
    </x:row>
    <x:row r="51">
      <x:c r="A51">
        <x:v>50</x:v>
      </x:c>
      <x:c r="B51">
        <x:v>1</x:v>
      </x:c>
      <x:c r="C51" t="s">
        <x:v>154</x:v>
      </x:c>
      <x:c r="D51" t="s">
        <x:v>155</x:v>
      </x:c>
      <x:c r="E51" t="s">
        <x:v>156</x:v>
      </x:c>
      <x:c r="F51" t="s">
        <x:v>154</x:v>
      </x:c>
      <x:c r="G51" t="s">
        <x:v>140</x:v>
      </x:c>
      <x:c r="H51" s="16" t="n">
        <x:v>1.5</x:v>
      </x:c>
      <x:c r="I51" s="14" t="n">
        <x:f>B51*H51</x:f>
        <x:v>1.5</x:v>
      </x:c>
      <x:c r="J51" s="18" t="str">
        <x:v>TI TPS22990 负载开关，渠道价估算</x:v>
      </x:c>
    </x:row>
    <x:row r="52">
      <x:c r="A52" t="s">
        <x:v>10</x:v>
      </x:c>
      <x:c r="H52" s="15"/>
      <x:c r="I52" s="15"/>
    </x:row>
    <x:row r="53">
      <x:c r="H53" s="25" t="str">
        <x:v>BOM 元器件估算合计</x:v>
      </x:c>
      <x:c r="I53" s="25" t="n">
        <x:f>SUM(I2:I51)</x:f>
        <x:v>48.45</x:v>
      </x:c>
      <x:c r="J53" s="26" t="str">
        <x:v>不含 PCB、贴片加工、运输、税费和备件损耗</x:v>
      </x:c>
    </x:row>
    <x:row r="54">
      <x:c r="H54" s="25" t="str">
        <x:v>BOM 采购数量合计</x:v>
      </x:c>
      <x:c r="I54" s="27" t="n">
        <x:f>SUM(B2:B51)</x:f>
        <x:v>129</x:v>
      </x:c>
      <x:c r="J54" s="26" t="str">
        <x:v>按原表 Quantity 列统计</x:v>
      </x:c>
    </x:row>
    <x:row r="56" ht="32" customHeight="1">
      <x:c r="H56" s="31" t="str">
        <x:v>价格说明：以上为 2026 年常见国产/渠道小批量采购的粗略估算，不是实时询价。原表中 Manufacturer Part 为“10”的阻容/电感等按常见通用料估价；无线芯片、传感器、MCU 和电源芯片按常见渠道价估算。实际价格会随品牌、采购数量、库存、封装和渠道变化。</x:v>
      </x:c>
      <x:c r="I56" s="31"/>
      <x:c r="J56" s="31"/>
    </x:row>
    <x:row r="57" ht="32" customHeight="1">
      <x:c r="H57" s="31"/>
      <x:c r="I57" s="31"/>
      <x:c r="J57" s="31"/>
    </x:row>
  </x:sheetData>
  <x:mergeCells>
    <x:mergeCell ref="H56:J57"/>
  </x:mergeCells>
  <x:pageMargins left="0.7" right="0.7" top="0.75" bottom="0.75" header="0.3" footer="0.3"/>
</x:worksheet>
</file>